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xu976_mcmaster_ca/Documents/2026 App Challenge/Data Workflow/Module B/"/>
    </mc:Choice>
  </mc:AlternateContent>
  <xr:revisionPtr revIDLastSave="22" documentId="8_{AC2E44A7-39AE-49F3-9090-27D936491DC4}" xr6:coauthVersionLast="47" xr6:coauthVersionMax="47" xr10:uidLastSave="{24E5D4C6-1339-425A-9DAA-B399D5F2E9C4}"/>
  <bookViews>
    <workbookView xWindow="-28920" yWindow="-120" windowWidth="29040" windowHeight="15720" xr2:uid="{A1644F38-BF2F-4DF2-8BFE-B0838A6813CB}"/>
  </bookViews>
  <sheets>
    <sheet name="Isochrone Summary" sheetId="1" r:id="rId1"/>
    <sheet name="Census Varable U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10" i="1"/>
  <c r="C9" i="1"/>
  <c r="D9" i="1"/>
  <c r="F9" i="1"/>
  <c r="C10" i="1"/>
  <c r="E10" i="1"/>
  <c r="F10" i="1"/>
  <c r="D8" i="1"/>
  <c r="E8" i="1"/>
  <c r="F8" i="1"/>
  <c r="C8" i="1"/>
  <c r="B9" i="1"/>
  <c r="B10" i="1"/>
  <c r="B8" i="1"/>
</calcChain>
</file>

<file path=xl/sharedStrings.xml><?xml version="1.0" encoding="utf-8"?>
<sst xmlns="http://schemas.openxmlformats.org/spreadsheetml/2006/main" count="29" uniqueCount="26">
  <si>
    <t xml:space="preserve">Count </t>
  </si>
  <si>
    <t>Total Population Served: based on 2021 census data</t>
  </si>
  <si>
    <t>Isochrones for LRT Stops</t>
  </si>
  <si>
    <t>Total Population</t>
  </si>
  <si>
    <t>65 years and over</t>
  </si>
  <si>
    <t>85 years and over</t>
  </si>
  <si>
    <t>Low-income</t>
  </si>
  <si>
    <t>New Immigrants</t>
  </si>
  <si>
    <t>0-5 min</t>
  </si>
  <si>
    <t>5-10 min</t>
  </si>
  <si>
    <t>10-15min</t>
  </si>
  <si>
    <t>Percentage</t>
  </si>
  <si>
    <t>Compared to total population of Hamilton</t>
  </si>
  <si>
    <t>Compared to total population served of each isochrone category</t>
  </si>
  <si>
    <t>Hamilton Total / Average</t>
  </si>
  <si>
    <t>2021 Census Profiles Files / Profile of Census Disseminations Areas</t>
  </si>
  <si>
    <t>COL0 - GEO UID</t>
  </si>
  <si>
    <t>COL1 - Population and dwelling counts / Population, 2021</t>
  </si>
  <si>
    <t>COL2 - Age &amp; Sex - Both sexes / Total - Distribution (%) of the population by broad age groups - 100% data ; Both sexes / 0 to 14 years ; Both sexes</t>
  </si>
  <si>
    <t>COL3 - Age &amp; Sex - Both sexes / Total - Distribution (%) of the population by broad age groups - 100% data ; Both sexes / 15 to 64 years ; Both sexes</t>
  </si>
  <si>
    <t>COL4 - Age &amp; Sex - Both sexes / Total - Distribution (%) of the population by broad age groups - 100% data ; Both sexes / 65 years and over ; Both sexes</t>
  </si>
  <si>
    <t>COL5 - Age &amp; Sex - Both sexes / Total - Distribution (%) of the population by broad age groups - 100% data ; Both sexes / 65 years and over ; Both sexes / 85 years and over ; Both sexes</t>
  </si>
  <si>
    <t>COL6 - Income - Total Sex / Prevalence of low income based on the Low-income cut-offs, after tax (LICO-AT) (%) ; Both sexes</t>
  </si>
  <si>
    <t>COL7 - Immigration - Total Sex / Total - Immigrant status and period of immigration for the population in private households - 25% sample data ; Both sexes</t>
  </si>
  <si>
    <t>COL8 - Immigration - Total Sex / Total - Immigrant status and period of immigration for the population in private households - 25% sample data ; Both sexes / Immigrants ; Both sexes / 2011 to 2021 ; Both sexes / 2016 to 2021 ; Both sexes</t>
  </si>
  <si>
    <t>COL9 - Immigration - Total Sex / Total - Immigrant status and period of immigration for the population in private households - 25% sample data ; Both sexes / Non-permanent residents ; 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</si>
</sst>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9778-B892-4998-85F8-528A079B2B3B}">
  <dimension ref="A1:F33"/>
  <sheetViews>
    <sheetView tabSelected="1" zoomScale="130" zoomScaleNormal="130" workbookViewId="0">
      <selection activeCell="G5" sqref="G5"/>
    </sheetView>
  </sheetViews>
  <sheetFormatPr defaultRowHeight="15"/>
  <cols>
    <col min="1" max="1" width="16.28515625" style="1" customWidth="1"/>
    <col min="2" max="6" width="15.85546875" customWidth="1"/>
  </cols>
  <sheetData>
    <row r="1" spans="1:6">
      <c r="A1" s="4" t="s">
        <v>0</v>
      </c>
      <c r="B1" s="13" t="s">
        <v>1</v>
      </c>
      <c r="C1" s="13"/>
      <c r="D1" s="13"/>
      <c r="E1" s="13"/>
      <c r="F1" s="13"/>
    </row>
    <row r="2" spans="1:6" s="3" customFormat="1" ht="29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>
      <c r="A3" s="5" t="s">
        <v>8</v>
      </c>
      <c r="B3" s="1">
        <v>39952</v>
      </c>
      <c r="C3" s="14">
        <v>6770.76</v>
      </c>
      <c r="D3" s="14">
        <v>922.01</v>
      </c>
      <c r="E3" s="14">
        <v>5580.35</v>
      </c>
      <c r="F3" s="14">
        <v>4065.47</v>
      </c>
    </row>
    <row r="4" spans="1:6">
      <c r="A4" s="5" t="s">
        <v>9</v>
      </c>
      <c r="B4" s="1">
        <v>107984</v>
      </c>
      <c r="C4" s="14">
        <v>17042.990000000002</v>
      </c>
      <c r="D4" s="14">
        <v>2184.73</v>
      </c>
      <c r="E4" s="14">
        <v>13863.31</v>
      </c>
      <c r="F4" s="14">
        <v>11013.66</v>
      </c>
    </row>
    <row r="5" spans="1:6">
      <c r="A5" s="5" t="s">
        <v>10</v>
      </c>
      <c r="B5" s="1">
        <v>157517</v>
      </c>
      <c r="C5" s="14">
        <v>25422.639999999999</v>
      </c>
      <c r="D5" s="14">
        <v>3252.72</v>
      </c>
      <c r="E5" s="14">
        <v>19320.419999999998</v>
      </c>
      <c r="F5" s="14">
        <v>13964.14</v>
      </c>
    </row>
    <row r="6" spans="1:6">
      <c r="B6" s="1"/>
      <c r="C6" s="1"/>
      <c r="D6" s="1"/>
      <c r="E6" s="1"/>
      <c r="F6" s="1"/>
    </row>
    <row r="7" spans="1:6" s="11" customFormat="1" ht="43.5">
      <c r="A7" s="10" t="s">
        <v>11</v>
      </c>
      <c r="B7" s="8" t="s">
        <v>12</v>
      </c>
      <c r="C7" s="12" t="s">
        <v>13</v>
      </c>
      <c r="D7" s="12"/>
      <c r="E7" s="12"/>
      <c r="F7" s="12"/>
    </row>
    <row r="8" spans="1:6">
      <c r="A8" s="5" t="s">
        <v>8</v>
      </c>
      <c r="B8" s="9">
        <f>B3/B$12</f>
        <v>7.0170878172241116E-2</v>
      </c>
      <c r="C8" s="9">
        <f>C3/$B3</f>
        <v>0.16947236684020825</v>
      </c>
      <c r="D8" s="9">
        <f t="shared" ref="D8:F8" si="0">D3/$B3</f>
        <v>2.3077943532238687E-2</v>
      </c>
      <c r="E8" s="9">
        <f t="shared" si="0"/>
        <v>0.13967636163396077</v>
      </c>
      <c r="F8" s="9">
        <f t="shared" si="0"/>
        <v>0.10175886063275931</v>
      </c>
    </row>
    <row r="9" spans="1:6">
      <c r="A9" s="5" t="s">
        <v>9</v>
      </c>
      <c r="B9" s="9">
        <f t="shared" ref="B9:B10" si="1">B4/B$12</f>
        <v>0.18966089578872861</v>
      </c>
      <c r="C9" s="9">
        <f>C4/$B4</f>
        <v>0.15782884501407618</v>
      </c>
      <c r="D9" s="9">
        <f t="shared" ref="C9:F9" si="2">D4/$B4</f>
        <v>2.0231978811675804E-2</v>
      </c>
      <c r="E9" s="9">
        <f>E4/$B4</f>
        <v>0.12838300118536078</v>
      </c>
      <c r="F9" s="9">
        <f t="shared" si="2"/>
        <v>0.10199344347310713</v>
      </c>
    </row>
    <row r="10" spans="1:6">
      <c r="A10" s="5" t="s">
        <v>10</v>
      </c>
      <c r="B10" s="9">
        <f t="shared" si="1"/>
        <v>0.27665964700282603</v>
      </c>
      <c r="C10" s="9">
        <f t="shared" ref="C10:F10" si="3">C5/$B5</f>
        <v>0.16139616676295257</v>
      </c>
      <c r="D10" s="9">
        <f>D5/$B5</f>
        <v>2.0649961591447271E-2</v>
      </c>
      <c r="E10" s="9">
        <f t="shared" si="3"/>
        <v>0.12265609426284146</v>
      </c>
      <c r="F10" s="9">
        <f t="shared" si="3"/>
        <v>8.8651637601020836E-2</v>
      </c>
    </row>
    <row r="11" spans="1:6">
      <c r="B11" s="1"/>
      <c r="C11" s="1"/>
      <c r="D11" s="1"/>
      <c r="E11" s="1"/>
      <c r="F11" s="1"/>
    </row>
    <row r="12" spans="1:6" ht="29.25">
      <c r="A12" s="8" t="s">
        <v>14</v>
      </c>
      <c r="B12" s="1">
        <v>569353</v>
      </c>
      <c r="C12" s="2">
        <v>0.183</v>
      </c>
      <c r="D12" s="2">
        <v>2.5999999999999999E-2</v>
      </c>
      <c r="E12" s="2">
        <v>6.2E-2</v>
      </c>
      <c r="F12" s="2">
        <v>5.8400000000000001E-2</v>
      </c>
    </row>
    <row r="31" spans="1:1">
      <c r="A31" s="6"/>
    </row>
    <row r="32" spans="1:1">
      <c r="A32" s="6"/>
    </row>
    <row r="33" spans="1:1">
      <c r="A33" s="6"/>
    </row>
  </sheetData>
  <mergeCells count="1">
    <mergeCell ref="C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5229-A1E3-419A-AE0F-2E2E6A094878}">
  <dimension ref="A1:A11"/>
  <sheetViews>
    <sheetView workbookViewId="0">
      <selection activeCell="A11" sqref="A11"/>
    </sheetView>
  </sheetViews>
  <sheetFormatPr defaultRowHeight="15"/>
  <sheetData>
    <row r="1" spans="1:1">
      <c r="A1" s="7" t="s">
        <v>15</v>
      </c>
    </row>
    <row r="2" spans="1:1">
      <c r="A2" s="7" t="s">
        <v>16</v>
      </c>
    </row>
    <row r="3" spans="1:1">
      <c r="A3" s="7" t="s">
        <v>17</v>
      </c>
    </row>
    <row r="4" spans="1:1">
      <c r="A4" s="7" t="s">
        <v>18</v>
      </c>
    </row>
    <row r="5" spans="1:1">
      <c r="A5" s="7" t="s">
        <v>19</v>
      </c>
    </row>
    <row r="6" spans="1:1">
      <c r="A6" s="7" t="s">
        <v>20</v>
      </c>
    </row>
    <row r="7" spans="1:1">
      <c r="A7" s="7" t="s">
        <v>21</v>
      </c>
    </row>
    <row r="8" spans="1:1">
      <c r="A8" s="7" t="s">
        <v>22</v>
      </c>
    </row>
    <row r="9" spans="1:1">
      <c r="A9" s="7" t="s">
        <v>23</v>
      </c>
    </row>
    <row r="10" spans="1:1">
      <c r="A10" s="7" t="s">
        <v>24</v>
      </c>
    </row>
    <row r="11" spans="1:1">
      <c r="A1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Haoran Xu</dc:creator>
  <cp:keywords/>
  <dc:description/>
  <cp:lastModifiedBy>Haoran Xu</cp:lastModifiedBy>
  <cp:revision/>
  <dcterms:created xsi:type="dcterms:W3CDTF">2026-03-23T16:30:30Z</dcterms:created>
  <dcterms:modified xsi:type="dcterms:W3CDTF">2026-03-27T16:26:42Z</dcterms:modified>
  <cp:category/>
  <cp:contentStatus/>
</cp:coreProperties>
</file>